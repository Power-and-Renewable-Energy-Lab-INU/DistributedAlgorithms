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asterWork\Codes\DistributedAlgorithms\SupplementaryMaterials\"/>
    </mc:Choice>
  </mc:AlternateContent>
  <xr:revisionPtr revIDLastSave="0" documentId="13_ncr:1_{699136F8-26D0-450C-9963-31C92B3F77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ingleIteration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K21" i="1" s="1"/>
  <c r="I21" i="1"/>
  <c r="L21" i="1" s="1"/>
  <c r="L20" i="1"/>
  <c r="J20" i="1"/>
  <c r="K20" i="1" s="1"/>
  <c r="I20" i="1"/>
  <c r="L19" i="1"/>
  <c r="J19" i="1"/>
  <c r="K19" i="1" s="1"/>
  <c r="I19" i="1"/>
  <c r="L17" i="1"/>
  <c r="J17" i="1"/>
  <c r="K17" i="1" s="1"/>
  <c r="I17" i="1"/>
  <c r="L16" i="1"/>
  <c r="J16" i="1"/>
  <c r="K16" i="1" s="1"/>
  <c r="I16" i="1"/>
  <c r="L15" i="1"/>
  <c r="J15" i="1"/>
  <c r="K15" i="1" s="1"/>
  <c r="I15" i="1"/>
  <c r="L11" i="1"/>
  <c r="J11" i="1"/>
  <c r="K11" i="1" s="1"/>
  <c r="I11" i="1"/>
  <c r="L10" i="1"/>
  <c r="J10" i="1"/>
  <c r="K10" i="1" s="1"/>
  <c r="I10" i="1"/>
  <c r="L9" i="1"/>
  <c r="J9" i="1"/>
  <c r="K9" i="1" s="1"/>
  <c r="J7" i="1"/>
  <c r="K7" i="1" s="1"/>
  <c r="I7" i="1"/>
  <c r="L7" i="1" s="1"/>
  <c r="J6" i="1"/>
  <c r="K6" i="1" s="1"/>
  <c r="I6" i="1"/>
  <c r="L6" i="1" s="1"/>
  <c r="L5" i="1"/>
  <c r="K5" i="1"/>
</calcChain>
</file>

<file path=xl/sharedStrings.xml><?xml version="1.0" encoding="utf-8"?>
<sst xmlns="http://schemas.openxmlformats.org/spreadsheetml/2006/main" count="48" uniqueCount="30">
  <si>
    <t>single_iteration=0.1s</t>
  </si>
  <si>
    <t>13-bus</t>
  </si>
  <si>
    <t>Method/timestep</t>
  </si>
  <si>
    <t>t=12</t>
  </si>
  <si>
    <t>t=13</t>
  </si>
  <si>
    <t>t=14</t>
  </si>
  <si>
    <t>t=15</t>
  </si>
  <si>
    <t>t=16</t>
  </si>
  <si>
    <t>t=17</t>
  </si>
  <si>
    <t>max_iteration#</t>
  </si>
  <si>
    <t>total_iterations#</t>
  </si>
  <si>
    <t>total_time (s)=0.1*total_iterations</t>
  </si>
  <si>
    <t>time_max_iteration (s)</t>
  </si>
  <si>
    <t>M1 (at epsilon=0.009)</t>
  </si>
  <si>
    <t>High</t>
  </si>
  <si>
    <t>M2 (at epsilon=0.9)</t>
  </si>
  <si>
    <t>Load</t>
  </si>
  <si>
    <t>M3 (at epsilon=1)</t>
  </si>
  <si>
    <t>Low</t>
  </si>
  <si>
    <t>M2  (at epsilon=0.009)</t>
  </si>
  <si>
    <t>M3  (at epsilon=0.01)</t>
  </si>
  <si>
    <t>123-bus</t>
  </si>
  <si>
    <t>Method iteration#/timestep</t>
  </si>
  <si>
    <t>M2 (at epsilon=0.2)</t>
  </si>
  <si>
    <t>M3  (at epsilon=0.3)</t>
  </si>
  <si>
    <t>M3   (at epsilon=0.01)</t>
  </si>
  <si>
    <t>time_max_iteration (s)= 0.1*max_iteration</t>
  </si>
  <si>
    <t>"@Authors: Talha Rehman, Muhmmad Ahsan Khan, Woon-Gyu Lee, Hyeong-Jun yoo, Hak-Man Kim</t>
  </si>
  <si>
    <t>Corresponding author: Hak-Man Kim</t>
  </si>
  <si>
    <t>The distributed algorithm simulations of Case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</si>
</sst>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70" workbookViewId="0">
      <selection activeCell="M4" sqref="M4"/>
    </sheetView>
  </sheetViews>
  <sheetFormatPr defaultRowHeight="14.5" x14ac:dyDescent="0.35"/>
  <cols>
    <col min="2" max="2" width="24.36328125" bestFit="1" customWidth="1"/>
    <col min="9" max="9" width="13.54296875" bestFit="1" customWidth="1"/>
    <col min="10" max="10" width="14.6328125" bestFit="1" customWidth="1"/>
    <col min="11" max="11" width="29.6328125" bestFit="1" customWidth="1"/>
    <col min="12" max="12" width="36.90625" bestFit="1" customWidth="1"/>
  </cols>
  <sheetData>
    <row r="1" spans="1:12" x14ac:dyDescent="0.35">
      <c r="B1" t="s">
        <v>27</v>
      </c>
      <c r="J1" t="s">
        <v>28</v>
      </c>
    </row>
    <row r="2" spans="1:12" x14ac:dyDescent="0.35">
      <c r="B2" t="s">
        <v>29</v>
      </c>
    </row>
    <row r="3" spans="1:12" x14ac:dyDescent="0.35">
      <c r="B3" t="s">
        <v>0</v>
      </c>
      <c r="C3" s="1" t="s">
        <v>1</v>
      </c>
      <c r="D3" s="1"/>
      <c r="E3" s="1"/>
      <c r="F3" s="1"/>
      <c r="G3" s="1"/>
      <c r="H3" s="1"/>
    </row>
    <row r="4" spans="1:12" x14ac:dyDescent="0.3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26</v>
      </c>
    </row>
    <row r="5" spans="1:12" x14ac:dyDescent="0.35">
      <c r="B5" t="s">
        <v>13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12</v>
      </c>
      <c r="K5">
        <f>0.1*J5</f>
        <v>1.2000000000000002</v>
      </c>
      <c r="L5">
        <f>0.1*I5</f>
        <v>0.2</v>
      </c>
    </row>
    <row r="6" spans="1:12" x14ac:dyDescent="0.35">
      <c r="A6" t="s">
        <v>14</v>
      </c>
      <c r="B6" t="s">
        <v>15</v>
      </c>
      <c r="C6">
        <v>146</v>
      </c>
      <c r="D6">
        <v>153</v>
      </c>
      <c r="E6">
        <v>149</v>
      </c>
      <c r="F6">
        <v>141</v>
      </c>
      <c r="G6">
        <v>141</v>
      </c>
      <c r="H6">
        <v>145</v>
      </c>
      <c r="I6">
        <f>MAX(C6:G6)</f>
        <v>153</v>
      </c>
      <c r="J6">
        <f>SUM(C6:H6)</f>
        <v>875</v>
      </c>
      <c r="K6">
        <f>0.1*J6</f>
        <v>87.5</v>
      </c>
      <c r="L6">
        <f>0.1*I6</f>
        <v>15.3</v>
      </c>
    </row>
    <row r="7" spans="1:12" x14ac:dyDescent="0.35">
      <c r="A7" t="s">
        <v>16</v>
      </c>
      <c r="B7" t="s">
        <v>17</v>
      </c>
      <c r="C7">
        <v>171</v>
      </c>
      <c r="D7">
        <v>165</v>
      </c>
      <c r="E7">
        <v>164</v>
      </c>
      <c r="F7">
        <v>161</v>
      </c>
      <c r="G7">
        <v>161</v>
      </c>
      <c r="H7">
        <v>161</v>
      </c>
      <c r="I7">
        <f>MAX(C7:G7)</f>
        <v>171</v>
      </c>
      <c r="J7">
        <f>SUM(C7:H7)</f>
        <v>983</v>
      </c>
      <c r="K7">
        <f>0.1*J7</f>
        <v>98.300000000000011</v>
      </c>
      <c r="L7">
        <f>0.1*I7</f>
        <v>17.100000000000001</v>
      </c>
    </row>
    <row r="9" spans="1:12" x14ac:dyDescent="0.35">
      <c r="B9" t="s">
        <v>13</v>
      </c>
      <c r="C9">
        <v>82</v>
      </c>
      <c r="D9">
        <v>82</v>
      </c>
      <c r="E9">
        <v>82</v>
      </c>
      <c r="F9">
        <v>82</v>
      </c>
      <c r="G9">
        <v>82</v>
      </c>
      <c r="H9">
        <v>82</v>
      </c>
      <c r="I9">
        <v>82</v>
      </c>
      <c r="J9">
        <f>SUM(C9:H9)</f>
        <v>492</v>
      </c>
      <c r="K9">
        <f>0.1*J9</f>
        <v>49.2</v>
      </c>
      <c r="L9">
        <f>0.1*I9</f>
        <v>8.2000000000000011</v>
      </c>
    </row>
    <row r="10" spans="1:12" x14ac:dyDescent="0.35">
      <c r="A10" t="s">
        <v>18</v>
      </c>
      <c r="B10" t="s">
        <v>19</v>
      </c>
      <c r="C10">
        <v>214</v>
      </c>
      <c r="D10">
        <v>210</v>
      </c>
      <c r="E10">
        <v>216</v>
      </c>
      <c r="F10">
        <v>215</v>
      </c>
      <c r="G10">
        <v>210</v>
      </c>
      <c r="H10">
        <v>207</v>
      </c>
      <c r="I10">
        <f>MAX(C10:G10)</f>
        <v>216</v>
      </c>
      <c r="J10">
        <f>SUM(C10:H10)</f>
        <v>1272</v>
      </c>
      <c r="K10">
        <f>0.1*J10</f>
        <v>127.2</v>
      </c>
      <c r="L10">
        <f>0.1*I10</f>
        <v>21.6</v>
      </c>
    </row>
    <row r="11" spans="1:12" x14ac:dyDescent="0.35">
      <c r="A11" t="s">
        <v>16</v>
      </c>
      <c r="B11" t="s">
        <v>20</v>
      </c>
      <c r="C11">
        <v>214</v>
      </c>
      <c r="D11">
        <v>205</v>
      </c>
      <c r="E11">
        <v>214</v>
      </c>
      <c r="F11">
        <v>227</v>
      </c>
      <c r="G11">
        <v>172</v>
      </c>
      <c r="H11">
        <v>217</v>
      </c>
      <c r="I11">
        <f>MAX(C11:G11)</f>
        <v>227</v>
      </c>
      <c r="J11">
        <f>SUM(C11:H11)</f>
        <v>1249</v>
      </c>
      <c r="K11">
        <f>0.1*J11</f>
        <v>124.9</v>
      </c>
      <c r="L11">
        <f>0.1*I11</f>
        <v>22.700000000000003</v>
      </c>
    </row>
    <row r="13" spans="1:12" x14ac:dyDescent="0.35">
      <c r="C13" s="1" t="s">
        <v>21</v>
      </c>
      <c r="D13" s="1"/>
      <c r="E13" s="1"/>
      <c r="F13" s="1"/>
      <c r="G13" s="1"/>
      <c r="H13" s="1"/>
    </row>
    <row r="14" spans="1:12" x14ac:dyDescent="0.35">
      <c r="B14" t="s">
        <v>22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L14" t="s">
        <v>12</v>
      </c>
    </row>
    <row r="15" spans="1:12" x14ac:dyDescent="0.35">
      <c r="B15" t="s">
        <v>13</v>
      </c>
      <c r="C15">
        <v>539</v>
      </c>
      <c r="D15">
        <v>539</v>
      </c>
      <c r="E15">
        <v>539</v>
      </c>
      <c r="F15">
        <v>539</v>
      </c>
      <c r="G15">
        <v>539</v>
      </c>
      <c r="H15">
        <v>539</v>
      </c>
      <c r="I15">
        <f>MAX(C15:G15)</f>
        <v>539</v>
      </c>
      <c r="J15">
        <f>SUM(C15:H15)</f>
        <v>3234</v>
      </c>
      <c r="K15">
        <f>0.1*J15</f>
        <v>323.40000000000003</v>
      </c>
      <c r="L15">
        <f>0.1*I15</f>
        <v>53.900000000000006</v>
      </c>
    </row>
    <row r="16" spans="1:12" x14ac:dyDescent="0.35">
      <c r="A16" t="s">
        <v>14</v>
      </c>
      <c r="B16" t="s">
        <v>23</v>
      </c>
      <c r="C16">
        <v>494</v>
      </c>
      <c r="D16">
        <v>516</v>
      </c>
      <c r="E16">
        <v>522</v>
      </c>
      <c r="F16">
        <v>527</v>
      </c>
      <c r="G16">
        <v>527</v>
      </c>
      <c r="H16">
        <v>527</v>
      </c>
      <c r="I16">
        <f>MAX(C16:G16)</f>
        <v>527</v>
      </c>
      <c r="J16">
        <f>SUM(C16:H16)</f>
        <v>3113</v>
      </c>
      <c r="K16">
        <f>0.1*J16</f>
        <v>311.3</v>
      </c>
      <c r="L16">
        <f>0.1*I16</f>
        <v>52.7</v>
      </c>
    </row>
    <row r="17" spans="1:12" x14ac:dyDescent="0.35">
      <c r="A17" t="s">
        <v>16</v>
      </c>
      <c r="B17" t="s">
        <v>24</v>
      </c>
      <c r="C17">
        <v>328</v>
      </c>
      <c r="D17">
        <v>266</v>
      </c>
      <c r="E17">
        <v>374</v>
      </c>
      <c r="F17">
        <v>380</v>
      </c>
      <c r="G17">
        <v>380</v>
      </c>
      <c r="H17">
        <v>380</v>
      </c>
      <c r="I17">
        <f>MAX(C17:G17)</f>
        <v>380</v>
      </c>
      <c r="J17">
        <f>SUM(C17:H17)</f>
        <v>2108</v>
      </c>
      <c r="K17">
        <f>0.1*J17</f>
        <v>210.8</v>
      </c>
      <c r="L17">
        <f>0.1*I17</f>
        <v>38</v>
      </c>
    </row>
    <row r="19" spans="1:12" x14ac:dyDescent="0.35">
      <c r="B19" t="s">
        <v>13</v>
      </c>
      <c r="C19">
        <v>78</v>
      </c>
      <c r="D19">
        <v>78</v>
      </c>
      <c r="E19">
        <v>78</v>
      </c>
      <c r="F19">
        <v>78</v>
      </c>
      <c r="G19">
        <v>78</v>
      </c>
      <c r="H19">
        <v>78</v>
      </c>
      <c r="I19">
        <f>MAX(C19:G19)</f>
        <v>78</v>
      </c>
      <c r="J19">
        <f>SUM(C19:H19)</f>
        <v>468</v>
      </c>
      <c r="K19">
        <f>0.1*J19</f>
        <v>46.800000000000004</v>
      </c>
      <c r="L19">
        <f>0.1*I19</f>
        <v>7.8000000000000007</v>
      </c>
    </row>
    <row r="20" spans="1:12" x14ac:dyDescent="0.35">
      <c r="A20" t="s">
        <v>18</v>
      </c>
      <c r="B20" t="s">
        <v>19</v>
      </c>
      <c r="C20">
        <v>324</v>
      </c>
      <c r="D20">
        <v>323</v>
      </c>
      <c r="E20">
        <v>330</v>
      </c>
      <c r="F20">
        <v>315</v>
      </c>
      <c r="G20">
        <v>319</v>
      </c>
      <c r="H20">
        <v>305</v>
      </c>
      <c r="I20">
        <f>MAX(C20:G20)</f>
        <v>330</v>
      </c>
      <c r="J20">
        <f>SUM(C20:H20)</f>
        <v>1916</v>
      </c>
      <c r="K20">
        <f>0.1*J20</f>
        <v>191.60000000000002</v>
      </c>
      <c r="L20">
        <f>0.1*I20</f>
        <v>33</v>
      </c>
    </row>
    <row r="21" spans="1:12" x14ac:dyDescent="0.35">
      <c r="A21" t="s">
        <v>16</v>
      </c>
      <c r="B21" t="s">
        <v>25</v>
      </c>
      <c r="C21">
        <v>339</v>
      </c>
      <c r="D21">
        <v>326</v>
      </c>
      <c r="E21">
        <v>297</v>
      </c>
      <c r="F21">
        <v>326</v>
      </c>
      <c r="G21">
        <v>329</v>
      </c>
      <c r="H21">
        <v>329</v>
      </c>
      <c r="I21">
        <f>MAX(C21:H21)</f>
        <v>339</v>
      </c>
      <c r="J21">
        <f>SUM(C21:H21)</f>
        <v>1946</v>
      </c>
      <c r="K21">
        <f>0.1*J21</f>
        <v>194.60000000000002</v>
      </c>
      <c r="L21">
        <f>0.1*I21</f>
        <v>33.9</v>
      </c>
    </row>
  </sheetData>
  <mergeCells count="2">
    <mergeCell ref="C3:H3"/>
    <mergeCell ref="C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SingleIterationTime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Rehman</dc:creator>
  <cp:lastModifiedBy>Talha Rehman</cp:lastModifiedBy>
  <dcterms:created xsi:type="dcterms:W3CDTF">2015-06-05T18:17:20Z</dcterms:created>
  <dcterms:modified xsi:type="dcterms:W3CDTF">2025-08-04T22:53:28Z</dcterms:modified>
</cp:coreProperties>
</file>